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un/Documents/programming/R/glasgow_league/data/2025-6/"/>
    </mc:Choice>
  </mc:AlternateContent>
  <xr:revisionPtr revIDLastSave="0" documentId="13_ncr:1_{14FC0FE3-3F97-DB44-9D9F-8F1286347A24}" xr6:coauthVersionLast="47" xr6:coauthVersionMax="47" xr10:uidLastSave="{00000000-0000-0000-0000-000000000000}"/>
  <bookViews>
    <workbookView xWindow="22320" yWindow="500" windowWidth="28880" windowHeight="23200" xr2:uid="{1E8C95F7-50F3-4BD8-88E5-89BDDF9ADFE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N8" i="1"/>
  <c r="M8" i="1"/>
  <c r="L8" i="1"/>
  <c r="K8" i="1"/>
  <c r="J8" i="1"/>
  <c r="I8" i="1"/>
  <c r="H8" i="1"/>
  <c r="F8" i="1"/>
  <c r="E8" i="1"/>
  <c r="D8" i="1"/>
  <c r="C8" i="1"/>
  <c r="B8" i="1"/>
  <c r="A8" i="1"/>
  <c r="N7" i="1"/>
  <c r="M7" i="1"/>
  <c r="L7" i="1"/>
  <c r="K7" i="1"/>
  <c r="J7" i="1"/>
  <c r="I7" i="1"/>
  <c r="H7" i="1"/>
  <c r="F7" i="1"/>
  <c r="E7" i="1"/>
  <c r="D7" i="1"/>
  <c r="C7" i="1"/>
  <c r="B7" i="1"/>
  <c r="A7" i="1"/>
  <c r="N6" i="1"/>
  <c r="M6" i="1"/>
  <c r="L6" i="1"/>
  <c r="K6" i="1"/>
  <c r="J6" i="1"/>
  <c r="I6" i="1"/>
  <c r="H6" i="1"/>
  <c r="F6" i="1"/>
  <c r="E6" i="1"/>
  <c r="D6" i="1"/>
  <c r="C6" i="1"/>
  <c r="B6" i="1"/>
  <c r="A6" i="1"/>
  <c r="N5" i="1"/>
  <c r="M5" i="1"/>
  <c r="L5" i="1"/>
  <c r="K5" i="1"/>
  <c r="J5" i="1"/>
  <c r="I5" i="1"/>
  <c r="H5" i="1"/>
  <c r="F5" i="1"/>
  <c r="E5" i="1"/>
  <c r="D5" i="1"/>
  <c r="C5" i="1"/>
  <c r="B5" i="1"/>
  <c r="A5" i="1"/>
  <c r="N4" i="1"/>
  <c r="M4" i="1"/>
  <c r="L4" i="1"/>
  <c r="K4" i="1"/>
  <c r="J4" i="1"/>
  <c r="I4" i="1"/>
  <c r="H4" i="1"/>
  <c r="F4" i="1"/>
  <c r="E4" i="1"/>
  <c r="D4" i="1"/>
  <c r="C4" i="1"/>
  <c r="B4" i="1"/>
  <c r="A4" i="1"/>
  <c r="N3" i="1"/>
  <c r="M3" i="1"/>
  <c r="L3" i="1"/>
  <c r="K3" i="1"/>
  <c r="J3" i="1"/>
  <c r="I3" i="1"/>
  <c r="H3" i="1"/>
  <c r="F3" i="1"/>
  <c r="E3" i="1"/>
  <c r="D3" i="1"/>
  <c r="C3" i="1"/>
  <c r="B3" i="1"/>
  <c r="A3" i="1"/>
  <c r="N2" i="1"/>
  <c r="M2" i="1"/>
  <c r="L2" i="1"/>
  <c r="K2" i="1"/>
  <c r="J2" i="1"/>
  <c r="I2" i="1"/>
  <c r="H2" i="1"/>
  <c r="F2" i="1"/>
  <c r="E2" i="1"/>
  <c r="D2" i="1"/>
  <c r="C2" i="1"/>
  <c r="B2" i="1"/>
  <c r="A2" i="1"/>
  <c r="N1" i="1"/>
  <c r="M1" i="1"/>
  <c r="L1" i="1"/>
  <c r="K1" i="1"/>
  <c r="J1" i="1"/>
  <c r="I1" i="1"/>
  <c r="H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<sst xmlns="http://schemas.openxmlformats.org/spreadsheetml/2006/main" count="3" uniqueCount="3">
  <si>
    <t>F</t>
  </si>
  <si>
    <t>James McCredie</t>
  </si>
  <si>
    <t>Calum Findlay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</si>
</sst>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idan/Dropbox/Archery/Glasgow%20League%20Matches/2025-26/GLM5%20teamsheet.xlsx" TargetMode="External"/><Relationship Id="rId1" Type="http://schemas.openxmlformats.org/officeDocument/2006/relationships/externalLinkPath" Target="file:///C:/Users/aidan/Dropbox/Archery/Glasgow%20League%20Matches/2025-26/GLM5%20team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sheet"/>
      <sheetName val="Payment tracking"/>
      <sheetName val="Checking of scoresheets"/>
      <sheetName val="Final Scoresheet"/>
      <sheetName val="Deliverable Final Scoresheet"/>
    </sheetNames>
    <sheetDataSet>
      <sheetData sheetId="0" refreshError="1"/>
      <sheetData sheetId="1" refreshError="1"/>
      <sheetData sheetId="2" refreshError="1"/>
      <sheetData sheetId="3" refreshError="1">
        <row r="3">
          <cell r="D3" t="str">
            <v>Target:</v>
          </cell>
          <cell r="E3" t="str">
            <v>Name:</v>
          </cell>
          <cell r="F3" t="str">
            <v>Gender:</v>
          </cell>
          <cell r="G3" t="str">
            <v>Club:</v>
          </cell>
          <cell r="H3" t="str">
            <v>Bow type:</v>
          </cell>
          <cell r="I3" t="str">
            <v>Score:</v>
          </cell>
          <cell r="O3" t="str">
            <v>Team:</v>
          </cell>
          <cell r="P3" t="str">
            <v>Team score 1:</v>
          </cell>
          <cell r="Q3" t="str">
            <v>Team score 2:</v>
          </cell>
          <cell r="R3" t="str">
            <v>Team score 3:</v>
          </cell>
          <cell r="S3" t="str">
            <v>Team score 4:</v>
          </cell>
          <cell r="T3" t="str">
            <v>Final team score:</v>
          </cell>
          <cell r="U3" t="str">
            <v>Medals:</v>
          </cell>
        </row>
        <row r="4">
          <cell r="D4" t="str">
            <v>1A</v>
          </cell>
          <cell r="E4" t="str">
            <v>Ben Dolson</v>
          </cell>
          <cell r="F4" t="str">
            <v>M</v>
          </cell>
          <cell r="G4" t="str">
            <v>MAC</v>
          </cell>
          <cell r="H4" t="str">
            <v>Compound</v>
          </cell>
          <cell r="I4">
            <v>553</v>
          </cell>
          <cell r="O4" t="str">
            <v>MAC</v>
          </cell>
          <cell r="P4">
            <v>557</v>
          </cell>
          <cell r="Q4">
            <v>550</v>
          </cell>
          <cell r="R4">
            <v>549</v>
          </cell>
          <cell r="S4">
            <v>540</v>
          </cell>
          <cell r="T4">
            <v>2196</v>
          </cell>
          <cell r="U4" t="str">
            <v>2nd</v>
          </cell>
        </row>
        <row r="5">
          <cell r="D5" t="str">
            <v>1B</v>
          </cell>
          <cell r="E5" t="str">
            <v>Finlay Grant</v>
          </cell>
          <cell r="F5" t="str">
            <v>M</v>
          </cell>
          <cell r="G5" t="str">
            <v>GA</v>
          </cell>
          <cell r="H5" t="str">
            <v>Compound</v>
          </cell>
          <cell r="I5">
            <v>559</v>
          </cell>
          <cell r="O5" t="str">
            <v>GA</v>
          </cell>
          <cell r="P5">
            <v>571</v>
          </cell>
          <cell r="Q5">
            <v>559</v>
          </cell>
          <cell r="R5">
            <v>553</v>
          </cell>
          <cell r="S5">
            <v>538</v>
          </cell>
          <cell r="T5">
            <v>2221</v>
          </cell>
          <cell r="U5" t="str">
            <v>1st</v>
          </cell>
        </row>
        <row r="6">
          <cell r="D6" t="str">
            <v>1C</v>
          </cell>
          <cell r="E6" t="str">
            <v>Marcus McInally</v>
          </cell>
          <cell r="F6" t="str">
            <v>M</v>
          </cell>
          <cell r="G6" t="str">
            <v>MAC</v>
          </cell>
          <cell r="H6" t="str">
            <v>Compound</v>
          </cell>
          <cell r="I6">
            <v>550</v>
          </cell>
          <cell r="O6" t="str">
            <v>O</v>
          </cell>
          <cell r="P6">
            <v>485</v>
          </cell>
          <cell r="Q6">
            <v>445</v>
          </cell>
          <cell r="R6">
            <v>371</v>
          </cell>
          <cell r="S6">
            <v>107</v>
          </cell>
          <cell r="T6">
            <v>1408</v>
          </cell>
          <cell r="U6" t="str">
            <v/>
          </cell>
        </row>
        <row r="7">
          <cell r="D7" t="str">
            <v>1D</v>
          </cell>
          <cell r="E7" t="str">
            <v>Chris Murray</v>
          </cell>
          <cell r="F7" t="str">
            <v>M</v>
          </cell>
          <cell r="G7" t="str">
            <v>MAC</v>
          </cell>
          <cell r="H7" t="str">
            <v>Compound</v>
          </cell>
          <cell r="I7">
            <v>557</v>
          </cell>
          <cell r="O7" t="str">
            <v>EK</v>
          </cell>
          <cell r="P7">
            <v>574</v>
          </cell>
          <cell r="Q7">
            <v>515</v>
          </cell>
          <cell r="R7">
            <v>508</v>
          </cell>
          <cell r="S7">
            <v>486</v>
          </cell>
          <cell r="T7">
            <v>2083</v>
          </cell>
          <cell r="U7" t="str">
            <v/>
          </cell>
        </row>
        <row r="8">
          <cell r="D8" t="str">
            <v>2A</v>
          </cell>
          <cell r="E8" t="str">
            <v>Scott Jamieson</v>
          </cell>
          <cell r="F8" t="str">
            <v>M</v>
          </cell>
          <cell r="G8" t="str">
            <v>GA</v>
          </cell>
          <cell r="H8" t="str">
            <v>Compound</v>
          </cell>
          <cell r="I8">
            <v>528</v>
          </cell>
          <cell r="O8" t="str">
            <v>UWSAC</v>
          </cell>
          <cell r="P8">
            <v>370</v>
          </cell>
          <cell r="Q8">
            <v>319</v>
          </cell>
          <cell r="R8">
            <v>0</v>
          </cell>
          <cell r="S8">
            <v>0</v>
          </cell>
          <cell r="T8">
            <v>689</v>
          </cell>
          <cell r="U8" t="str">
            <v/>
          </cell>
        </row>
        <row r="9">
          <cell r="D9" t="str">
            <v>2B</v>
          </cell>
          <cell r="E9" t="str">
            <v>David MacLachlan</v>
          </cell>
          <cell r="F9" t="str">
            <v>M</v>
          </cell>
          <cell r="G9" t="str">
            <v>O</v>
          </cell>
          <cell r="H9" t="str">
            <v>Recurve</v>
          </cell>
          <cell r="I9">
            <v>485</v>
          </cell>
          <cell r="O9" t="str">
            <v>USAC</v>
          </cell>
          <cell r="P9">
            <v>558</v>
          </cell>
          <cell r="Q9">
            <v>544</v>
          </cell>
          <cell r="R9">
            <v>543</v>
          </cell>
          <cell r="S9">
            <v>517</v>
          </cell>
          <cell r="T9">
            <v>2162</v>
          </cell>
          <cell r="U9" t="str">
            <v>3rd</v>
          </cell>
        </row>
        <row r="10">
          <cell r="D10" t="str">
            <v>2C</v>
          </cell>
          <cell r="E10" t="str">
            <v>James Ross</v>
          </cell>
          <cell r="F10" t="str">
            <v>M</v>
          </cell>
          <cell r="G10" t="str">
            <v>EK</v>
          </cell>
          <cell r="H10" t="str">
            <v>Compound</v>
          </cell>
          <cell r="I10">
            <v>574</v>
          </cell>
          <cell r="O10" t="str">
            <v>LAC</v>
          </cell>
          <cell r="P10">
            <v>562</v>
          </cell>
          <cell r="Q10">
            <v>505</v>
          </cell>
          <cell r="R10">
            <v>499</v>
          </cell>
          <cell r="S10">
            <v>446</v>
          </cell>
          <cell r="T10">
            <v>2012</v>
          </cell>
          <cell r="U10" t="str">
            <v/>
          </cell>
        </row>
        <row r="11">
          <cell r="D11" t="str">
            <v>2D</v>
          </cell>
          <cell r="E11" t="str">
            <v>Euan Ogilvie</v>
          </cell>
          <cell r="F11" t="str">
            <v>M</v>
          </cell>
          <cell r="G11" t="str">
            <v>GA</v>
          </cell>
          <cell r="H11" t="str">
            <v>Recurve</v>
          </cell>
          <cell r="I11">
            <v>571</v>
          </cell>
        </row>
        <row r="12">
          <cell r="D12" t="str">
            <v>3A</v>
          </cell>
          <cell r="E12" t="str">
            <v>Lauren Findlay</v>
          </cell>
          <cell r="F12" t="str">
            <v>F</v>
          </cell>
          <cell r="G12" t="str">
            <v>EK</v>
          </cell>
          <cell r="H12" t="str">
            <v>Recurve</v>
          </cell>
          <cell r="I12">
            <v>468</v>
          </cell>
        </row>
        <row r="13">
          <cell r="D13" t="str">
            <v>3B</v>
          </cell>
          <cell r="E13" t="str">
            <v>Oksana Peterson</v>
          </cell>
          <cell r="F13" t="str">
            <v>F</v>
          </cell>
          <cell r="G13" t="str">
            <v>GA</v>
          </cell>
          <cell r="H13" t="str">
            <v>Recurve</v>
          </cell>
          <cell r="I13">
            <v>553</v>
          </cell>
        </row>
        <row r="14">
          <cell r="D14" t="str">
            <v>3C</v>
          </cell>
          <cell r="E14" t="str">
            <v>Alisa Kravchenko</v>
          </cell>
          <cell r="F14" t="str">
            <v>F</v>
          </cell>
          <cell r="G14" t="str">
            <v>USAC</v>
          </cell>
          <cell r="H14" t="str">
            <v>Barebow</v>
          </cell>
          <cell r="I14">
            <v>430</v>
          </cell>
        </row>
        <row r="15">
          <cell r="D15" t="str">
            <v>3D</v>
          </cell>
          <cell r="E15" t="str">
            <v>James O'Donnell</v>
          </cell>
          <cell r="F15" t="str">
            <v>M</v>
          </cell>
          <cell r="G15" t="str">
            <v>USAC</v>
          </cell>
          <cell r="H15" t="str">
            <v>Recurve</v>
          </cell>
          <cell r="I15">
            <v>544</v>
          </cell>
        </row>
        <row r="16">
          <cell r="D16" t="str">
            <v>4A</v>
          </cell>
          <cell r="F16" t="str">
            <v>M</v>
          </cell>
          <cell r="G16" t="str">
            <v>EK</v>
          </cell>
          <cell r="H16" t="str">
            <v>Recurve</v>
          </cell>
          <cell r="I16">
            <v>515</v>
          </cell>
        </row>
        <row r="17">
          <cell r="D17" t="str">
            <v>4B</v>
          </cell>
          <cell r="E17" t="str">
            <v>Catherine Coddington</v>
          </cell>
          <cell r="F17" t="str">
            <v>F</v>
          </cell>
          <cell r="G17" t="str">
            <v>MAC</v>
          </cell>
          <cell r="H17" t="str">
            <v>Recurve</v>
          </cell>
          <cell r="I17">
            <v>538</v>
          </cell>
        </row>
        <row r="18">
          <cell r="D18" t="str">
            <v>4C</v>
          </cell>
          <cell r="E18" t="str">
            <v>Duncan Malone</v>
          </cell>
          <cell r="F18" t="str">
            <v>M</v>
          </cell>
          <cell r="G18" t="str">
            <v>GA</v>
          </cell>
          <cell r="H18" t="str">
            <v>Recurve</v>
          </cell>
          <cell r="I18">
            <v>538</v>
          </cell>
        </row>
        <row r="19">
          <cell r="D19" t="str">
            <v>4D</v>
          </cell>
          <cell r="E19" t="str">
            <v>Gareth Clayton</v>
          </cell>
          <cell r="F19" t="str">
            <v>M</v>
          </cell>
          <cell r="G19" t="str">
            <v>O</v>
          </cell>
          <cell r="H19" t="str">
            <v>Recurve</v>
          </cell>
          <cell r="I19">
            <v>445</v>
          </cell>
        </row>
        <row r="20">
          <cell r="D20" t="str">
            <v>5A</v>
          </cell>
          <cell r="E20" t="str">
            <v>Aidan Dowie</v>
          </cell>
          <cell r="F20" t="str">
            <v>M</v>
          </cell>
          <cell r="G20" t="str">
            <v>USAC</v>
          </cell>
          <cell r="H20" t="str">
            <v>Barebow</v>
          </cell>
          <cell r="I20">
            <v>380</v>
          </cell>
        </row>
        <row r="21">
          <cell r="D21" t="str">
            <v>5B</v>
          </cell>
          <cell r="E21" t="str">
            <v>Eli Cargill</v>
          </cell>
          <cell r="G21" t="str">
            <v>O</v>
          </cell>
          <cell r="H21" t="str">
            <v>Traditional</v>
          </cell>
          <cell r="I21">
            <v>107</v>
          </cell>
        </row>
        <row r="22">
          <cell r="D22" t="str">
            <v>5C</v>
          </cell>
          <cell r="E22" t="str">
            <v>Benji Hamer</v>
          </cell>
          <cell r="F22" t="str">
            <v>M</v>
          </cell>
          <cell r="G22" t="str">
            <v>USAC</v>
          </cell>
          <cell r="H22" t="str">
            <v>Recurve</v>
          </cell>
          <cell r="I22">
            <v>558</v>
          </cell>
        </row>
        <row r="23">
          <cell r="D23" t="str">
            <v>5D</v>
          </cell>
          <cell r="E23" t="str">
            <v>Mark Forrester</v>
          </cell>
          <cell r="F23" t="str">
            <v>M</v>
          </cell>
          <cell r="G23" t="str">
            <v>MAC</v>
          </cell>
          <cell r="H23" t="str">
            <v>Recurve</v>
          </cell>
          <cell r="I23">
            <v>549</v>
          </cell>
        </row>
        <row r="24">
          <cell r="D24" t="str">
            <v>6A</v>
          </cell>
          <cell r="E24" t="str">
            <v>Cassie Miller</v>
          </cell>
          <cell r="F24" t="str">
            <v>M</v>
          </cell>
          <cell r="G24" t="str">
            <v>UWSAC</v>
          </cell>
          <cell r="H24" t="str">
            <v>Barebow</v>
          </cell>
          <cell r="I24">
            <v>319</v>
          </cell>
        </row>
        <row r="25">
          <cell r="D25" t="str">
            <v>6B</v>
          </cell>
          <cell r="E25" t="str">
            <v>Sam Chapman</v>
          </cell>
          <cell r="F25" t="str">
            <v>M</v>
          </cell>
          <cell r="G25" t="str">
            <v>USAC</v>
          </cell>
          <cell r="H25" t="str">
            <v>Recurve</v>
          </cell>
          <cell r="I25">
            <v>517</v>
          </cell>
        </row>
        <row r="26">
          <cell r="D26" t="str">
            <v>6C</v>
          </cell>
          <cell r="E26" t="str">
            <v>John Strang</v>
          </cell>
          <cell r="F26" t="str">
            <v>M</v>
          </cell>
          <cell r="G26" t="str">
            <v>GA</v>
          </cell>
          <cell r="H26" t="str">
            <v>Recurve</v>
          </cell>
          <cell r="I26">
            <v>523</v>
          </cell>
        </row>
        <row r="27">
          <cell r="D27" t="str">
            <v>6D</v>
          </cell>
          <cell r="E27" t="str">
            <v>Leigh Smart</v>
          </cell>
          <cell r="F27" t="str">
            <v>M</v>
          </cell>
          <cell r="G27" t="str">
            <v>EK</v>
          </cell>
          <cell r="H27" t="str">
            <v>Recurve</v>
          </cell>
          <cell r="I27">
            <v>465</v>
          </cell>
        </row>
        <row r="28">
          <cell r="D28" t="str">
            <v>7A</v>
          </cell>
          <cell r="E28" t="str">
            <v>Iain Macmillan</v>
          </cell>
          <cell r="F28" t="str">
            <v>M</v>
          </cell>
          <cell r="G28" t="str">
            <v>MAC</v>
          </cell>
          <cell r="H28" t="str">
            <v>Recurve</v>
          </cell>
          <cell r="I28">
            <v>540</v>
          </cell>
        </row>
        <row r="29">
          <cell r="D29" t="str">
            <v>7B</v>
          </cell>
          <cell r="E29" t="str">
            <v>Rylie Cargill Hall</v>
          </cell>
          <cell r="F29" t="str">
            <v>M</v>
          </cell>
          <cell r="G29" t="str">
            <v>O</v>
          </cell>
          <cell r="H29" t="str">
            <v>Barebow</v>
          </cell>
          <cell r="I29">
            <v>371</v>
          </cell>
        </row>
        <row r="30">
          <cell r="D30" t="str">
            <v>7C</v>
          </cell>
          <cell r="E30" t="str">
            <v>Renata Gusmao</v>
          </cell>
          <cell r="F30" t="str">
            <v>F</v>
          </cell>
          <cell r="G30" t="str">
            <v>UWSAC</v>
          </cell>
          <cell r="H30" t="str">
            <v>Barebow</v>
          </cell>
          <cell r="I30">
            <v>0</v>
          </cell>
        </row>
        <row r="31">
          <cell r="D31" t="str">
            <v>7D</v>
          </cell>
          <cell r="E31" t="str">
            <v>Joshua McMillan</v>
          </cell>
          <cell r="F31" t="str">
            <v>M</v>
          </cell>
          <cell r="G31" t="str">
            <v>LAC</v>
          </cell>
          <cell r="H31" t="str">
            <v>Barebow</v>
          </cell>
          <cell r="I31">
            <v>499</v>
          </cell>
        </row>
        <row r="32">
          <cell r="D32" t="str">
            <v>8A</v>
          </cell>
          <cell r="E32" t="str">
            <v>Ray Reynaldo</v>
          </cell>
          <cell r="F32" t="str">
            <v>M</v>
          </cell>
          <cell r="G32" t="str">
            <v>USAC</v>
          </cell>
          <cell r="H32" t="str">
            <v>Recurve</v>
          </cell>
          <cell r="I32">
            <v>457</v>
          </cell>
        </row>
        <row r="33">
          <cell r="D33" t="str">
            <v>8B</v>
          </cell>
          <cell r="F33" t="str">
            <v>M</v>
          </cell>
          <cell r="G33" t="str">
            <v>EK</v>
          </cell>
          <cell r="H33" t="str">
            <v>Recurve</v>
          </cell>
          <cell r="I33">
            <v>508</v>
          </cell>
        </row>
        <row r="34">
          <cell r="D34" t="str">
            <v>8C</v>
          </cell>
          <cell r="E34" t="str">
            <v>Stephen Harkness</v>
          </cell>
          <cell r="F34" t="str">
            <v>M</v>
          </cell>
          <cell r="G34" t="str">
            <v>UWSAC</v>
          </cell>
          <cell r="H34" t="str">
            <v>Recurve</v>
          </cell>
          <cell r="I34">
            <v>370</v>
          </cell>
        </row>
        <row r="35">
          <cell r="D35" t="str">
            <v>8D</v>
          </cell>
          <cell r="E35" t="str">
            <v>Antonis Katris</v>
          </cell>
          <cell r="F35" t="str">
            <v>M</v>
          </cell>
          <cell r="G35" t="str">
            <v>USAC</v>
          </cell>
          <cell r="H35" t="str">
            <v>Recurve</v>
          </cell>
          <cell r="I35">
            <v>543</v>
          </cell>
        </row>
        <row r="36">
          <cell r="D36" t="str">
            <v>9A</v>
          </cell>
          <cell r="E36" t="str">
            <v>Kenneth Hume</v>
          </cell>
          <cell r="F36" t="str">
            <v>M</v>
          </cell>
          <cell r="G36" t="str">
            <v>LAC</v>
          </cell>
          <cell r="H36" t="str">
            <v>Recurve</v>
          </cell>
          <cell r="I36">
            <v>505</v>
          </cell>
        </row>
        <row r="37">
          <cell r="D37" t="str">
            <v>9B</v>
          </cell>
          <cell r="E37" t="str">
            <v>Nathan Coghill</v>
          </cell>
          <cell r="F37" t="str">
            <v>M</v>
          </cell>
          <cell r="G37" t="str">
            <v>USAC</v>
          </cell>
          <cell r="H37" t="str">
            <v>Traditional</v>
          </cell>
          <cell r="I37">
            <v>150</v>
          </cell>
        </row>
        <row r="38">
          <cell r="D38" t="str">
            <v>9C</v>
          </cell>
          <cell r="E38" t="str">
            <v>Ross Carmichael</v>
          </cell>
          <cell r="F38" t="str">
            <v>M</v>
          </cell>
          <cell r="G38" t="str">
            <v>LAC</v>
          </cell>
          <cell r="H38" t="str">
            <v>Barebow</v>
          </cell>
          <cell r="I38">
            <v>446</v>
          </cell>
        </row>
        <row r="39">
          <cell r="D39" t="str">
            <v>9D</v>
          </cell>
          <cell r="E39" t="str">
            <v>Mark Ferguson</v>
          </cell>
          <cell r="F39" t="str">
            <v>M</v>
          </cell>
          <cell r="G39" t="str">
            <v>EK</v>
          </cell>
          <cell r="H39" t="str">
            <v>Recurve</v>
          </cell>
          <cell r="I39">
            <v>451</v>
          </cell>
        </row>
        <row r="40">
          <cell r="D40" t="str">
            <v>10A</v>
          </cell>
          <cell r="E40" t="str">
            <v>Emily Zenuwah</v>
          </cell>
          <cell r="F40" t="str">
            <v>F</v>
          </cell>
          <cell r="G40" t="str">
            <v>UWSAC</v>
          </cell>
          <cell r="H40" t="str">
            <v>Barebow</v>
          </cell>
          <cell r="I40">
            <v>0</v>
          </cell>
        </row>
        <row r="41">
          <cell r="D41" t="str">
            <v>10B</v>
          </cell>
          <cell r="E41" t="str">
            <v>Alexander Husbands</v>
          </cell>
          <cell r="F41" t="str">
            <v>M</v>
          </cell>
          <cell r="G41" t="str">
            <v>EK</v>
          </cell>
          <cell r="H41" t="str">
            <v>Recurve</v>
          </cell>
          <cell r="I41">
            <v>486</v>
          </cell>
        </row>
        <row r="42">
          <cell r="D42" t="str">
            <v>10C</v>
          </cell>
          <cell r="E42" t="str">
            <v>Donald Kennedy</v>
          </cell>
          <cell r="F42" t="str">
            <v>M</v>
          </cell>
          <cell r="G42" t="str">
            <v>LAC</v>
          </cell>
          <cell r="H42" t="str">
            <v>Recurve</v>
          </cell>
          <cell r="I42">
            <v>562</v>
          </cell>
        </row>
        <row r="43">
          <cell r="D43" t="str">
            <v>10D</v>
          </cell>
          <cell r="E43" t="str">
            <v>Henri Krishna</v>
          </cell>
          <cell r="F43" t="str">
            <v>M</v>
          </cell>
          <cell r="G43" t="str">
            <v>GA</v>
          </cell>
          <cell r="H43" t="str">
            <v>Recurve</v>
          </cell>
          <cell r="I43">
            <v>522</v>
          </cell>
        </row>
        <row r="44">
          <cell r="D44" t="str">
            <v>10E</v>
          </cell>
          <cell r="E44" t="str">
            <v>Chris Blair</v>
          </cell>
          <cell r="F44" t="str">
            <v>M</v>
          </cell>
          <cell r="G44" t="str">
            <v>GA</v>
          </cell>
          <cell r="H44" t="str">
            <v>Barebow</v>
          </cell>
          <cell r="I44">
            <v>451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5D1E-82F6-4FD7-89C6-0DF7E536F893}">
  <dimension ref="A1:N42"/>
  <sheetViews>
    <sheetView tabSelected="1" topLeftCell="A3" zoomScale="110" zoomScaleNormal="110" workbookViewId="0">
      <selection activeCell="B14" sqref="B14"/>
    </sheetView>
  </sheetViews>
  <sheetFormatPr baseColWidth="10" defaultColWidth="8.83203125" defaultRowHeight="15" x14ac:dyDescent="0.2"/>
  <cols>
    <col min="1" max="1" width="6.33203125" bestFit="1" customWidth="1"/>
    <col min="2" max="2" width="18" bestFit="1" customWidth="1"/>
    <col min="3" max="3" width="7.1640625" bestFit="1" customWidth="1"/>
    <col min="4" max="4" width="6.83203125" bestFit="1" customWidth="1"/>
    <col min="5" max="5" width="9.5" bestFit="1" customWidth="1"/>
    <col min="6" max="6" width="6" bestFit="1" customWidth="1"/>
    <col min="8" max="8" width="6.83203125" bestFit="1" customWidth="1"/>
    <col min="9" max="12" width="11.6640625" bestFit="1" customWidth="1"/>
    <col min="13" max="13" width="14.1640625" bestFit="1" customWidth="1"/>
    <col min="14" max="14" width="7" bestFit="1" customWidth="1"/>
  </cols>
  <sheetData>
    <row r="1" spans="1:14" ht="32" x14ac:dyDescent="0.2">
      <c r="A1" s="1" t="str">
        <f>'[1]Final Scoresheet'!D3</f>
        <v>Target:</v>
      </c>
      <c r="B1" s="1" t="str">
        <f>'[1]Final Scoresheet'!E3</f>
        <v>Name:</v>
      </c>
      <c r="C1" s="1" t="str">
        <f>'[1]Final Scoresheet'!F3</f>
        <v>Gender:</v>
      </c>
      <c r="D1" s="1" t="str">
        <f>'[1]Final Scoresheet'!G3</f>
        <v>Club:</v>
      </c>
      <c r="E1" s="1" t="str">
        <f>'[1]Final Scoresheet'!H3</f>
        <v>Bow type:</v>
      </c>
      <c r="F1" s="1" t="str">
        <f>'[1]Final Scoresheet'!I3</f>
        <v>Score:</v>
      </c>
      <c r="H1" s="2" t="str">
        <f>'[1]Final Scoresheet'!O3</f>
        <v>Team:</v>
      </c>
      <c r="I1" s="2" t="str">
        <f>'[1]Final Scoresheet'!P3</f>
        <v>Team score 1:</v>
      </c>
      <c r="J1" s="2" t="str">
        <f>'[1]Final Scoresheet'!Q3</f>
        <v>Team score 2:</v>
      </c>
      <c r="K1" s="2" t="str">
        <f>'[1]Final Scoresheet'!R3</f>
        <v>Team score 3:</v>
      </c>
      <c r="L1" s="2" t="str">
        <f>'[1]Final Scoresheet'!S3</f>
        <v>Team score 4:</v>
      </c>
      <c r="M1" s="2" t="str">
        <f>'[1]Final Scoresheet'!T3</f>
        <v>Final team score:</v>
      </c>
      <c r="N1" s="2" t="str">
        <f>'[1]Final Scoresheet'!U3</f>
        <v>Medals:</v>
      </c>
    </row>
    <row r="2" spans="1:14" ht="32" x14ac:dyDescent="0.2">
      <c r="A2" s="2" t="str">
        <f>'[1]Final Scoresheet'!D4</f>
        <v>1A</v>
      </c>
      <c r="B2" s="2" t="str">
        <f>'[1]Final Scoresheet'!E4</f>
        <v>Ben Dolson</v>
      </c>
      <c r="C2" s="2" t="str">
        <f>'[1]Final Scoresheet'!F4</f>
        <v>M</v>
      </c>
      <c r="D2" s="2" t="str">
        <f>'[1]Final Scoresheet'!G4</f>
        <v>MAC</v>
      </c>
      <c r="E2" s="2" t="str">
        <f>'[1]Final Scoresheet'!H4</f>
        <v>Compound</v>
      </c>
      <c r="F2" s="2">
        <f>'[1]Final Scoresheet'!I4</f>
        <v>553</v>
      </c>
      <c r="H2" s="2" t="str">
        <f>'[1]Final Scoresheet'!O4</f>
        <v>MAC</v>
      </c>
      <c r="I2" s="2">
        <f>'[1]Final Scoresheet'!P4</f>
        <v>557</v>
      </c>
      <c r="J2" s="2">
        <f>'[1]Final Scoresheet'!Q4</f>
        <v>550</v>
      </c>
      <c r="K2" s="2">
        <f>'[1]Final Scoresheet'!R4</f>
        <v>549</v>
      </c>
      <c r="L2" s="2">
        <f>'[1]Final Scoresheet'!S4</f>
        <v>540</v>
      </c>
      <c r="M2" s="2">
        <f>'[1]Final Scoresheet'!T4</f>
        <v>2196</v>
      </c>
      <c r="N2" s="2" t="str">
        <f>'[1]Final Scoresheet'!U4</f>
        <v>2nd</v>
      </c>
    </row>
    <row r="3" spans="1:14" ht="32" x14ac:dyDescent="0.2">
      <c r="A3" s="2" t="str">
        <f>'[1]Final Scoresheet'!D5</f>
        <v>1B</v>
      </c>
      <c r="B3" s="2" t="str">
        <f>'[1]Final Scoresheet'!E5</f>
        <v>Finlay Grant</v>
      </c>
      <c r="C3" s="2" t="str">
        <f>'[1]Final Scoresheet'!F5</f>
        <v>M</v>
      </c>
      <c r="D3" s="2" t="str">
        <f>'[1]Final Scoresheet'!G5</f>
        <v>GA</v>
      </c>
      <c r="E3" s="2" t="str">
        <f>'[1]Final Scoresheet'!H5</f>
        <v>Compound</v>
      </c>
      <c r="F3" s="2">
        <f>'[1]Final Scoresheet'!I5</f>
        <v>559</v>
      </c>
      <c r="H3" s="2" t="str">
        <f>'[1]Final Scoresheet'!O5</f>
        <v>GA</v>
      </c>
      <c r="I3" s="2">
        <f>'[1]Final Scoresheet'!P5</f>
        <v>571</v>
      </c>
      <c r="J3" s="2">
        <f>'[1]Final Scoresheet'!Q5</f>
        <v>559</v>
      </c>
      <c r="K3" s="2">
        <f>'[1]Final Scoresheet'!R5</f>
        <v>553</v>
      </c>
      <c r="L3" s="2">
        <f>'[1]Final Scoresheet'!S5</f>
        <v>538</v>
      </c>
      <c r="M3" s="2">
        <f>'[1]Final Scoresheet'!T5</f>
        <v>2221</v>
      </c>
      <c r="N3" s="2" t="str">
        <f>'[1]Final Scoresheet'!U5</f>
        <v>1st</v>
      </c>
    </row>
    <row r="4" spans="1:14" ht="32" x14ac:dyDescent="0.2">
      <c r="A4" s="2" t="str">
        <f>'[1]Final Scoresheet'!D6</f>
        <v>1C</v>
      </c>
      <c r="B4" s="2" t="str">
        <f>'[1]Final Scoresheet'!E6</f>
        <v>Marcus McInally</v>
      </c>
      <c r="C4" s="2" t="str">
        <f>'[1]Final Scoresheet'!F6</f>
        <v>M</v>
      </c>
      <c r="D4" s="2" t="str">
        <f>'[1]Final Scoresheet'!G6</f>
        <v>MAC</v>
      </c>
      <c r="E4" s="2" t="str">
        <f>'[1]Final Scoresheet'!H6</f>
        <v>Compound</v>
      </c>
      <c r="F4" s="2">
        <f>'[1]Final Scoresheet'!I6</f>
        <v>550</v>
      </c>
      <c r="H4" s="2" t="str">
        <f>'[1]Final Scoresheet'!O6</f>
        <v>O</v>
      </c>
      <c r="I4" s="2">
        <f>'[1]Final Scoresheet'!P6</f>
        <v>485</v>
      </c>
      <c r="J4" s="2">
        <f>'[1]Final Scoresheet'!Q6</f>
        <v>445</v>
      </c>
      <c r="K4" s="2">
        <f>'[1]Final Scoresheet'!R6</f>
        <v>371</v>
      </c>
      <c r="L4" s="2">
        <f>'[1]Final Scoresheet'!S6</f>
        <v>107</v>
      </c>
      <c r="M4" s="2">
        <f>'[1]Final Scoresheet'!T6</f>
        <v>1408</v>
      </c>
      <c r="N4" s="2" t="str">
        <f>'[1]Final Scoresheet'!U6</f>
        <v/>
      </c>
    </row>
    <row r="5" spans="1:14" ht="32" x14ac:dyDescent="0.2">
      <c r="A5" s="2" t="str">
        <f>'[1]Final Scoresheet'!D7</f>
        <v>1D</v>
      </c>
      <c r="B5" s="2" t="str">
        <f>'[1]Final Scoresheet'!E7</f>
        <v>Chris Murray</v>
      </c>
      <c r="C5" s="2" t="str">
        <f>'[1]Final Scoresheet'!F7</f>
        <v>M</v>
      </c>
      <c r="D5" s="2" t="str">
        <f>'[1]Final Scoresheet'!G7</f>
        <v>MAC</v>
      </c>
      <c r="E5" s="2" t="str">
        <f>'[1]Final Scoresheet'!H7</f>
        <v>Compound</v>
      </c>
      <c r="F5" s="2">
        <f>'[1]Final Scoresheet'!I7</f>
        <v>557</v>
      </c>
      <c r="H5" s="2" t="str">
        <f>'[1]Final Scoresheet'!O7</f>
        <v>EK</v>
      </c>
      <c r="I5" s="2">
        <f>'[1]Final Scoresheet'!P7</f>
        <v>574</v>
      </c>
      <c r="J5" s="2">
        <f>'[1]Final Scoresheet'!Q7</f>
        <v>515</v>
      </c>
      <c r="K5" s="2">
        <f>'[1]Final Scoresheet'!R7</f>
        <v>508</v>
      </c>
      <c r="L5" s="2">
        <f>'[1]Final Scoresheet'!S7</f>
        <v>486</v>
      </c>
      <c r="M5" s="2">
        <f>'[1]Final Scoresheet'!T7</f>
        <v>2083</v>
      </c>
      <c r="N5" s="2" t="str">
        <f>'[1]Final Scoresheet'!U7</f>
        <v/>
      </c>
    </row>
    <row r="6" spans="1:14" ht="32" x14ac:dyDescent="0.2">
      <c r="A6" s="2" t="str">
        <f>'[1]Final Scoresheet'!D8</f>
        <v>2A</v>
      </c>
      <c r="B6" s="2" t="str">
        <f>'[1]Final Scoresheet'!E8</f>
        <v>Scott Jamieson</v>
      </c>
      <c r="C6" s="2" t="str">
        <f>'[1]Final Scoresheet'!F8</f>
        <v>M</v>
      </c>
      <c r="D6" s="2" t="str">
        <f>'[1]Final Scoresheet'!G8</f>
        <v>GA</v>
      </c>
      <c r="E6" s="2" t="str">
        <f>'[1]Final Scoresheet'!H8</f>
        <v>Compound</v>
      </c>
      <c r="F6" s="2">
        <f>'[1]Final Scoresheet'!I8</f>
        <v>528</v>
      </c>
      <c r="H6" s="2" t="str">
        <f>'[1]Final Scoresheet'!O8</f>
        <v>UWSAC</v>
      </c>
      <c r="I6" s="2">
        <f>'[1]Final Scoresheet'!P8</f>
        <v>370</v>
      </c>
      <c r="J6" s="2">
        <f>'[1]Final Scoresheet'!Q8</f>
        <v>319</v>
      </c>
      <c r="K6" s="2">
        <f>'[1]Final Scoresheet'!R8</f>
        <v>0</v>
      </c>
      <c r="L6" s="2">
        <f>'[1]Final Scoresheet'!S8</f>
        <v>0</v>
      </c>
      <c r="M6" s="2">
        <f>'[1]Final Scoresheet'!T8</f>
        <v>689</v>
      </c>
      <c r="N6" s="2" t="str">
        <f>'[1]Final Scoresheet'!U8</f>
        <v/>
      </c>
    </row>
    <row r="7" spans="1:14" ht="16" x14ac:dyDescent="0.2">
      <c r="A7" s="2" t="str">
        <f>'[1]Final Scoresheet'!D9</f>
        <v>2B</v>
      </c>
      <c r="B7" s="2" t="str">
        <f>'[1]Final Scoresheet'!E9</f>
        <v>David MacLachlan</v>
      </c>
      <c r="C7" s="2" t="str">
        <f>'[1]Final Scoresheet'!F9</f>
        <v>M</v>
      </c>
      <c r="D7" s="2" t="str">
        <f>'[1]Final Scoresheet'!G9</f>
        <v>O</v>
      </c>
      <c r="E7" s="2" t="str">
        <f>'[1]Final Scoresheet'!H9</f>
        <v>Recurve</v>
      </c>
      <c r="F7" s="2">
        <f>'[1]Final Scoresheet'!I9</f>
        <v>485</v>
      </c>
      <c r="H7" s="2" t="str">
        <f>'[1]Final Scoresheet'!O9</f>
        <v>USAC</v>
      </c>
      <c r="I7" s="2">
        <f>'[1]Final Scoresheet'!P9</f>
        <v>558</v>
      </c>
      <c r="J7" s="2">
        <f>'[1]Final Scoresheet'!Q9</f>
        <v>544</v>
      </c>
      <c r="K7" s="2">
        <f>'[1]Final Scoresheet'!R9</f>
        <v>543</v>
      </c>
      <c r="L7" s="2">
        <f>'[1]Final Scoresheet'!S9</f>
        <v>517</v>
      </c>
      <c r="M7" s="2">
        <f>'[1]Final Scoresheet'!T9</f>
        <v>2162</v>
      </c>
      <c r="N7" s="2" t="str">
        <f>'[1]Final Scoresheet'!U9</f>
        <v>3rd</v>
      </c>
    </row>
    <row r="8" spans="1:14" ht="32" x14ac:dyDescent="0.2">
      <c r="A8" s="2" t="str">
        <f>'[1]Final Scoresheet'!D10</f>
        <v>2C</v>
      </c>
      <c r="B8" s="2" t="str">
        <f>'[1]Final Scoresheet'!E10</f>
        <v>James Ross</v>
      </c>
      <c r="C8" s="2" t="str">
        <f>'[1]Final Scoresheet'!F10</f>
        <v>M</v>
      </c>
      <c r="D8" s="2" t="str">
        <f>'[1]Final Scoresheet'!G10</f>
        <v>EK</v>
      </c>
      <c r="E8" s="2" t="str">
        <f>'[1]Final Scoresheet'!H10</f>
        <v>Compound</v>
      </c>
      <c r="F8" s="2">
        <f>'[1]Final Scoresheet'!I10</f>
        <v>574</v>
      </c>
      <c r="H8" s="2" t="str">
        <f>'[1]Final Scoresheet'!O10</f>
        <v>LAC</v>
      </c>
      <c r="I8" s="2">
        <f>'[1]Final Scoresheet'!P10</f>
        <v>562</v>
      </c>
      <c r="J8" s="2">
        <f>'[1]Final Scoresheet'!Q10</f>
        <v>505</v>
      </c>
      <c r="K8" s="2">
        <f>'[1]Final Scoresheet'!R10</f>
        <v>499</v>
      </c>
      <c r="L8" s="2">
        <f>'[1]Final Scoresheet'!S10</f>
        <v>446</v>
      </c>
      <c r="M8" s="2">
        <f>'[1]Final Scoresheet'!T10</f>
        <v>2012</v>
      </c>
      <c r="N8" s="2" t="str">
        <f>'[1]Final Scoresheet'!U10</f>
        <v/>
      </c>
    </row>
    <row r="9" spans="1:14" ht="16" x14ac:dyDescent="0.2">
      <c r="A9" s="2" t="str">
        <f>'[1]Final Scoresheet'!D11</f>
        <v>2D</v>
      </c>
      <c r="B9" s="2" t="str">
        <f>'[1]Final Scoresheet'!E11</f>
        <v>Euan Ogilvie</v>
      </c>
      <c r="C9" s="2" t="str">
        <f>'[1]Final Scoresheet'!F11</f>
        <v>M</v>
      </c>
      <c r="D9" s="2" t="str">
        <f>'[1]Final Scoresheet'!G11</f>
        <v>GA</v>
      </c>
      <c r="E9" s="2" t="str">
        <f>'[1]Final Scoresheet'!H11</f>
        <v>Recurve</v>
      </c>
      <c r="F9" s="2">
        <f>'[1]Final Scoresheet'!I11</f>
        <v>571</v>
      </c>
    </row>
    <row r="10" spans="1:14" ht="16" x14ac:dyDescent="0.2">
      <c r="A10" s="2" t="str">
        <f>'[1]Final Scoresheet'!D12</f>
        <v>3A</v>
      </c>
      <c r="B10" s="2" t="str">
        <f>'[1]Final Scoresheet'!E12</f>
        <v>Lauren Findlay</v>
      </c>
      <c r="C10" s="2" t="str">
        <f>'[1]Final Scoresheet'!F12</f>
        <v>F</v>
      </c>
      <c r="D10" s="2" t="str">
        <f>'[1]Final Scoresheet'!G12</f>
        <v>EK</v>
      </c>
      <c r="E10" s="2" t="str">
        <f>'[1]Final Scoresheet'!H12</f>
        <v>Recurve</v>
      </c>
      <c r="F10" s="2">
        <f>'[1]Final Scoresheet'!I12</f>
        <v>468</v>
      </c>
    </row>
    <row r="11" spans="1:14" ht="16" x14ac:dyDescent="0.2">
      <c r="A11" s="2" t="str">
        <f>'[1]Final Scoresheet'!D13</f>
        <v>3B</v>
      </c>
      <c r="B11" s="2" t="str">
        <f>'[1]Final Scoresheet'!E13</f>
        <v>Oksana Peterson</v>
      </c>
      <c r="C11" s="2" t="str">
        <f>'[1]Final Scoresheet'!F13</f>
        <v>F</v>
      </c>
      <c r="D11" s="2" t="str">
        <f>'[1]Final Scoresheet'!G13</f>
        <v>GA</v>
      </c>
      <c r="E11" s="2" t="str">
        <f>'[1]Final Scoresheet'!H13</f>
        <v>Recurve</v>
      </c>
      <c r="F11" s="2">
        <f>'[1]Final Scoresheet'!I13</f>
        <v>553</v>
      </c>
    </row>
    <row r="12" spans="1:14" ht="16" x14ac:dyDescent="0.2">
      <c r="A12" s="2" t="str">
        <f>'[1]Final Scoresheet'!D14</f>
        <v>3C</v>
      </c>
      <c r="B12" s="2" t="str">
        <f>'[1]Final Scoresheet'!E14</f>
        <v>Alisa Kravchenko</v>
      </c>
      <c r="C12" s="2" t="str">
        <f>'[1]Final Scoresheet'!F14</f>
        <v>F</v>
      </c>
      <c r="D12" s="2" t="str">
        <f>'[1]Final Scoresheet'!G14</f>
        <v>USAC</v>
      </c>
      <c r="E12" s="2" t="str">
        <f>'[1]Final Scoresheet'!H14</f>
        <v>Barebow</v>
      </c>
      <c r="F12" s="2">
        <f>'[1]Final Scoresheet'!I14</f>
        <v>430</v>
      </c>
    </row>
    <row r="13" spans="1:14" ht="16" x14ac:dyDescent="0.2">
      <c r="A13" s="2" t="str">
        <f>'[1]Final Scoresheet'!D15</f>
        <v>3D</v>
      </c>
      <c r="B13" s="2" t="str">
        <f>'[1]Final Scoresheet'!E15</f>
        <v>James O'Donnell</v>
      </c>
      <c r="C13" s="2" t="str">
        <f>'[1]Final Scoresheet'!F15</f>
        <v>M</v>
      </c>
      <c r="D13" s="2" t="str">
        <f>'[1]Final Scoresheet'!G15</f>
        <v>USAC</v>
      </c>
      <c r="E13" s="2" t="str">
        <f>'[1]Final Scoresheet'!H15</f>
        <v>Recurve</v>
      </c>
      <c r="F13" s="2">
        <f>'[1]Final Scoresheet'!I15</f>
        <v>544</v>
      </c>
    </row>
    <row r="14" spans="1:14" ht="16" x14ac:dyDescent="0.2">
      <c r="A14" s="2" t="str">
        <f>'[1]Final Scoresheet'!D16</f>
        <v>4A</v>
      </c>
      <c r="B14" s="2" t="s">
        <v>2</v>
      </c>
      <c r="C14" s="2" t="str">
        <f>'[1]Final Scoresheet'!F16</f>
        <v>M</v>
      </c>
      <c r="D14" s="2" t="str">
        <f>'[1]Final Scoresheet'!G16</f>
        <v>EK</v>
      </c>
      <c r="E14" s="2" t="str">
        <f>'[1]Final Scoresheet'!H16</f>
        <v>Recurve</v>
      </c>
      <c r="F14" s="2">
        <f>'[1]Final Scoresheet'!I16</f>
        <v>515</v>
      </c>
    </row>
    <row r="15" spans="1:14" ht="16" x14ac:dyDescent="0.2">
      <c r="A15" s="2" t="str">
        <f>'[1]Final Scoresheet'!D17</f>
        <v>4B</v>
      </c>
      <c r="B15" s="2" t="str">
        <f>'[1]Final Scoresheet'!E17</f>
        <v>Catherine Coddington</v>
      </c>
      <c r="C15" s="2" t="str">
        <f>'[1]Final Scoresheet'!F17</f>
        <v>F</v>
      </c>
      <c r="D15" s="2" t="str">
        <f>'[1]Final Scoresheet'!G17</f>
        <v>MAC</v>
      </c>
      <c r="E15" s="2" t="str">
        <f>'[1]Final Scoresheet'!H17</f>
        <v>Recurve</v>
      </c>
      <c r="F15" s="2">
        <f>'[1]Final Scoresheet'!I17</f>
        <v>538</v>
      </c>
    </row>
    <row r="16" spans="1:14" ht="16" x14ac:dyDescent="0.2">
      <c r="A16" s="2" t="str">
        <f>'[1]Final Scoresheet'!D18</f>
        <v>4C</v>
      </c>
      <c r="B16" s="2" t="str">
        <f>'[1]Final Scoresheet'!E18</f>
        <v>Duncan Malone</v>
      </c>
      <c r="C16" s="2" t="str">
        <f>'[1]Final Scoresheet'!F18</f>
        <v>M</v>
      </c>
      <c r="D16" s="2" t="str">
        <f>'[1]Final Scoresheet'!G18</f>
        <v>GA</v>
      </c>
      <c r="E16" s="2" t="str">
        <f>'[1]Final Scoresheet'!H18</f>
        <v>Recurve</v>
      </c>
      <c r="F16" s="2">
        <f>'[1]Final Scoresheet'!I18</f>
        <v>538</v>
      </c>
    </row>
    <row r="17" spans="1:6" ht="16" x14ac:dyDescent="0.2">
      <c r="A17" s="2" t="str">
        <f>'[1]Final Scoresheet'!D19</f>
        <v>4D</v>
      </c>
      <c r="B17" s="2" t="str">
        <f>'[1]Final Scoresheet'!E19</f>
        <v>Gareth Clayton</v>
      </c>
      <c r="C17" s="2" t="str">
        <f>'[1]Final Scoresheet'!F19</f>
        <v>M</v>
      </c>
      <c r="D17" s="2" t="str">
        <f>'[1]Final Scoresheet'!G19</f>
        <v>O</v>
      </c>
      <c r="E17" s="2" t="str">
        <f>'[1]Final Scoresheet'!H19</f>
        <v>Recurve</v>
      </c>
      <c r="F17" s="2">
        <f>'[1]Final Scoresheet'!I19</f>
        <v>445</v>
      </c>
    </row>
    <row r="18" spans="1:6" ht="16" x14ac:dyDescent="0.2">
      <c r="A18" s="2" t="str">
        <f>'[1]Final Scoresheet'!D20</f>
        <v>5A</v>
      </c>
      <c r="B18" s="2" t="str">
        <f>'[1]Final Scoresheet'!E20</f>
        <v>Aidan Dowie</v>
      </c>
      <c r="C18" s="2" t="str">
        <f>'[1]Final Scoresheet'!F20</f>
        <v>M</v>
      </c>
      <c r="D18" s="2" t="str">
        <f>'[1]Final Scoresheet'!G20</f>
        <v>USAC</v>
      </c>
      <c r="E18" s="2" t="str">
        <f>'[1]Final Scoresheet'!H20</f>
        <v>Barebow</v>
      </c>
      <c r="F18" s="2">
        <f>'[1]Final Scoresheet'!I20</f>
        <v>380</v>
      </c>
    </row>
    <row r="19" spans="1:6" ht="16" x14ac:dyDescent="0.2">
      <c r="A19" s="2" t="str">
        <f>'[1]Final Scoresheet'!D21</f>
        <v>5B</v>
      </c>
      <c r="B19" s="2" t="str">
        <f>'[1]Final Scoresheet'!E21</f>
        <v>Eli Cargill</v>
      </c>
      <c r="C19" s="2" t="s">
        <v>0</v>
      </c>
      <c r="D19" s="2" t="str">
        <f>'[1]Final Scoresheet'!G21</f>
        <v>O</v>
      </c>
      <c r="E19" s="2" t="str">
        <f>'[1]Final Scoresheet'!H21</f>
        <v>Traditional</v>
      </c>
      <c r="F19" s="2">
        <f>'[1]Final Scoresheet'!I21</f>
        <v>107</v>
      </c>
    </row>
    <row r="20" spans="1:6" ht="16" x14ac:dyDescent="0.2">
      <c r="A20" s="2" t="str">
        <f>'[1]Final Scoresheet'!D22</f>
        <v>5C</v>
      </c>
      <c r="B20" s="2" t="str">
        <f>'[1]Final Scoresheet'!E22</f>
        <v>Benji Hamer</v>
      </c>
      <c r="C20" s="2" t="str">
        <f>'[1]Final Scoresheet'!F22</f>
        <v>M</v>
      </c>
      <c r="D20" s="2" t="str">
        <f>'[1]Final Scoresheet'!G22</f>
        <v>USAC</v>
      </c>
      <c r="E20" s="2" t="str">
        <f>'[1]Final Scoresheet'!H22</f>
        <v>Recurve</v>
      </c>
      <c r="F20" s="2">
        <f>'[1]Final Scoresheet'!I22</f>
        <v>558</v>
      </c>
    </row>
    <row r="21" spans="1:6" ht="16" x14ac:dyDescent="0.2">
      <c r="A21" s="2" t="str">
        <f>'[1]Final Scoresheet'!D23</f>
        <v>5D</v>
      </c>
      <c r="B21" s="2" t="str">
        <f>'[1]Final Scoresheet'!E23</f>
        <v>Mark Forrester</v>
      </c>
      <c r="C21" s="2" t="str">
        <f>'[1]Final Scoresheet'!F23</f>
        <v>M</v>
      </c>
      <c r="D21" s="2" t="str">
        <f>'[1]Final Scoresheet'!G23</f>
        <v>MAC</v>
      </c>
      <c r="E21" s="2" t="str">
        <f>'[1]Final Scoresheet'!H23</f>
        <v>Recurve</v>
      </c>
      <c r="F21" s="2">
        <f>'[1]Final Scoresheet'!I23</f>
        <v>549</v>
      </c>
    </row>
    <row r="22" spans="1:6" ht="32" x14ac:dyDescent="0.2">
      <c r="A22" s="2" t="str">
        <f>'[1]Final Scoresheet'!D24</f>
        <v>6A</v>
      </c>
      <c r="B22" s="2" t="str">
        <f>'[1]Final Scoresheet'!E24</f>
        <v>Cassie Miller</v>
      </c>
      <c r="C22" s="2" t="str">
        <f>'[1]Final Scoresheet'!F24</f>
        <v>M</v>
      </c>
      <c r="D22" s="2" t="str">
        <f>'[1]Final Scoresheet'!G24</f>
        <v>UWSAC</v>
      </c>
      <c r="E22" s="2" t="str">
        <f>'[1]Final Scoresheet'!H24</f>
        <v>Barebow</v>
      </c>
      <c r="F22" s="2">
        <f>'[1]Final Scoresheet'!I24</f>
        <v>319</v>
      </c>
    </row>
    <row r="23" spans="1:6" ht="16" x14ac:dyDescent="0.2">
      <c r="A23" s="2" t="str">
        <f>'[1]Final Scoresheet'!D25</f>
        <v>6B</v>
      </c>
      <c r="B23" s="2" t="str">
        <f>'[1]Final Scoresheet'!E25</f>
        <v>Sam Chapman</v>
      </c>
      <c r="C23" s="2" t="str">
        <f>'[1]Final Scoresheet'!F25</f>
        <v>M</v>
      </c>
      <c r="D23" s="2" t="str">
        <f>'[1]Final Scoresheet'!G25</f>
        <v>USAC</v>
      </c>
      <c r="E23" s="2" t="str">
        <f>'[1]Final Scoresheet'!H25</f>
        <v>Recurve</v>
      </c>
      <c r="F23" s="2">
        <f>'[1]Final Scoresheet'!I25</f>
        <v>517</v>
      </c>
    </row>
    <row r="24" spans="1:6" ht="16" x14ac:dyDescent="0.2">
      <c r="A24" s="2" t="str">
        <f>'[1]Final Scoresheet'!D26</f>
        <v>6C</v>
      </c>
      <c r="B24" s="2" t="str">
        <f>'[1]Final Scoresheet'!E26</f>
        <v>John Strang</v>
      </c>
      <c r="C24" s="2" t="str">
        <f>'[1]Final Scoresheet'!F26</f>
        <v>M</v>
      </c>
      <c r="D24" s="2" t="str">
        <f>'[1]Final Scoresheet'!G26</f>
        <v>GA</v>
      </c>
      <c r="E24" s="2" t="str">
        <f>'[1]Final Scoresheet'!H26</f>
        <v>Recurve</v>
      </c>
      <c r="F24" s="2">
        <f>'[1]Final Scoresheet'!I26</f>
        <v>523</v>
      </c>
    </row>
    <row r="25" spans="1:6" ht="16" x14ac:dyDescent="0.2">
      <c r="A25" s="2" t="str">
        <f>'[1]Final Scoresheet'!D27</f>
        <v>6D</v>
      </c>
      <c r="B25" s="2" t="str">
        <f>'[1]Final Scoresheet'!E27</f>
        <v>Leigh Smart</v>
      </c>
      <c r="C25" s="2" t="str">
        <f>'[1]Final Scoresheet'!F27</f>
        <v>M</v>
      </c>
      <c r="D25" s="2" t="str">
        <f>'[1]Final Scoresheet'!G27</f>
        <v>EK</v>
      </c>
      <c r="E25" s="2" t="str">
        <f>'[1]Final Scoresheet'!H27</f>
        <v>Recurve</v>
      </c>
      <c r="F25" s="2">
        <f>'[1]Final Scoresheet'!I27</f>
        <v>465</v>
      </c>
    </row>
    <row r="26" spans="1:6" ht="16" x14ac:dyDescent="0.2">
      <c r="A26" s="2" t="str">
        <f>'[1]Final Scoresheet'!D28</f>
        <v>7A</v>
      </c>
      <c r="B26" s="2" t="str">
        <f>'[1]Final Scoresheet'!E28</f>
        <v>Iain Macmillan</v>
      </c>
      <c r="C26" s="2" t="str">
        <f>'[1]Final Scoresheet'!F28</f>
        <v>M</v>
      </c>
      <c r="D26" s="2" t="str">
        <f>'[1]Final Scoresheet'!G28</f>
        <v>MAC</v>
      </c>
      <c r="E26" s="2" t="str">
        <f>'[1]Final Scoresheet'!H28</f>
        <v>Recurve</v>
      </c>
      <c r="F26" s="2">
        <f>'[1]Final Scoresheet'!I28</f>
        <v>540</v>
      </c>
    </row>
    <row r="27" spans="1:6" ht="16" x14ac:dyDescent="0.2">
      <c r="A27" s="2" t="str">
        <f>'[1]Final Scoresheet'!D29</f>
        <v>7B</v>
      </c>
      <c r="B27" s="2" t="str">
        <f>'[1]Final Scoresheet'!E29</f>
        <v>Rylie Cargill Hall</v>
      </c>
      <c r="C27" s="2" t="str">
        <f>'[1]Final Scoresheet'!F29</f>
        <v>M</v>
      </c>
      <c r="D27" s="2" t="str">
        <f>'[1]Final Scoresheet'!G29</f>
        <v>O</v>
      </c>
      <c r="E27" s="2" t="str">
        <f>'[1]Final Scoresheet'!H29</f>
        <v>Barebow</v>
      </c>
      <c r="F27" s="2">
        <f>'[1]Final Scoresheet'!I29</f>
        <v>371</v>
      </c>
    </row>
    <row r="28" spans="1:6" ht="32" x14ac:dyDescent="0.2">
      <c r="A28" s="2" t="str">
        <f>'[1]Final Scoresheet'!D30</f>
        <v>7C</v>
      </c>
      <c r="B28" s="2" t="str">
        <f>'[1]Final Scoresheet'!E30</f>
        <v>Renata Gusmao</v>
      </c>
      <c r="C28" s="2" t="str">
        <f>'[1]Final Scoresheet'!F30</f>
        <v>F</v>
      </c>
      <c r="D28" s="2" t="str">
        <f>'[1]Final Scoresheet'!G30</f>
        <v>UWSAC</v>
      </c>
      <c r="E28" s="2" t="str">
        <f>'[1]Final Scoresheet'!H30</f>
        <v>Barebow</v>
      </c>
      <c r="F28" s="2">
        <f>'[1]Final Scoresheet'!I30</f>
        <v>0</v>
      </c>
    </row>
    <row r="29" spans="1:6" ht="16" x14ac:dyDescent="0.2">
      <c r="A29" s="2" t="str">
        <f>'[1]Final Scoresheet'!D31</f>
        <v>7D</v>
      </c>
      <c r="B29" s="2" t="str">
        <f>'[1]Final Scoresheet'!E31</f>
        <v>Joshua McMillan</v>
      </c>
      <c r="C29" s="2" t="str">
        <f>'[1]Final Scoresheet'!F31</f>
        <v>M</v>
      </c>
      <c r="D29" s="2" t="str">
        <f>'[1]Final Scoresheet'!G31</f>
        <v>LAC</v>
      </c>
      <c r="E29" s="2" t="str">
        <f>'[1]Final Scoresheet'!H31</f>
        <v>Barebow</v>
      </c>
      <c r="F29" s="2">
        <f>'[1]Final Scoresheet'!I31</f>
        <v>499</v>
      </c>
    </row>
    <row r="30" spans="1:6" ht="16" x14ac:dyDescent="0.2">
      <c r="A30" s="2" t="str">
        <f>'[1]Final Scoresheet'!D32</f>
        <v>8A</v>
      </c>
      <c r="B30" s="2" t="str">
        <f>'[1]Final Scoresheet'!E32</f>
        <v>Ray Reynaldo</v>
      </c>
      <c r="C30" s="2" t="str">
        <f>'[1]Final Scoresheet'!F32</f>
        <v>M</v>
      </c>
      <c r="D30" s="2" t="str">
        <f>'[1]Final Scoresheet'!G32</f>
        <v>USAC</v>
      </c>
      <c r="E30" s="2" t="str">
        <f>'[1]Final Scoresheet'!H32</f>
        <v>Recurve</v>
      </c>
      <c r="F30" s="2">
        <f>'[1]Final Scoresheet'!I32</f>
        <v>457</v>
      </c>
    </row>
    <row r="31" spans="1:6" ht="16" x14ac:dyDescent="0.2">
      <c r="A31" s="2" t="str">
        <f>'[1]Final Scoresheet'!D33</f>
        <v>8B</v>
      </c>
      <c r="B31" s="2" t="s">
        <v>1</v>
      </c>
      <c r="C31" s="2" t="str">
        <f>'[1]Final Scoresheet'!F33</f>
        <v>M</v>
      </c>
      <c r="D31" s="2" t="str">
        <f>'[1]Final Scoresheet'!G33</f>
        <v>EK</v>
      </c>
      <c r="E31" s="2" t="str">
        <f>'[1]Final Scoresheet'!H33</f>
        <v>Recurve</v>
      </c>
      <c r="F31" s="2">
        <f>'[1]Final Scoresheet'!I33</f>
        <v>508</v>
      </c>
    </row>
    <row r="32" spans="1:6" ht="32" x14ac:dyDescent="0.2">
      <c r="A32" s="2" t="str">
        <f>'[1]Final Scoresheet'!D34</f>
        <v>8C</v>
      </c>
      <c r="B32" s="2" t="str">
        <f>'[1]Final Scoresheet'!E34</f>
        <v>Stephen Harkness</v>
      </c>
      <c r="C32" s="2" t="str">
        <f>'[1]Final Scoresheet'!F34</f>
        <v>M</v>
      </c>
      <c r="D32" s="2" t="str">
        <f>'[1]Final Scoresheet'!G34</f>
        <v>UWSAC</v>
      </c>
      <c r="E32" s="2" t="str">
        <f>'[1]Final Scoresheet'!H34</f>
        <v>Recurve</v>
      </c>
      <c r="F32" s="2">
        <f>'[1]Final Scoresheet'!I34</f>
        <v>370</v>
      </c>
    </row>
    <row r="33" spans="1:6" ht="16" x14ac:dyDescent="0.2">
      <c r="A33" s="2" t="str">
        <f>'[1]Final Scoresheet'!D35</f>
        <v>8D</v>
      </c>
      <c r="B33" s="2" t="str">
        <f>'[1]Final Scoresheet'!E35</f>
        <v>Antonis Katris</v>
      </c>
      <c r="C33" s="2" t="str">
        <f>'[1]Final Scoresheet'!F35</f>
        <v>M</v>
      </c>
      <c r="D33" s="2" t="str">
        <f>'[1]Final Scoresheet'!G35</f>
        <v>USAC</v>
      </c>
      <c r="E33" s="2" t="str">
        <f>'[1]Final Scoresheet'!H35</f>
        <v>Recurve</v>
      </c>
      <c r="F33" s="2">
        <f>'[1]Final Scoresheet'!I35</f>
        <v>543</v>
      </c>
    </row>
    <row r="34" spans="1:6" ht="16" x14ac:dyDescent="0.2">
      <c r="A34" s="2" t="str">
        <f>'[1]Final Scoresheet'!D36</f>
        <v>9A</v>
      </c>
      <c r="B34" s="2" t="str">
        <f>'[1]Final Scoresheet'!E36</f>
        <v>Kenneth Hume</v>
      </c>
      <c r="C34" s="2" t="str">
        <f>'[1]Final Scoresheet'!F36</f>
        <v>M</v>
      </c>
      <c r="D34" s="2" t="str">
        <f>'[1]Final Scoresheet'!G36</f>
        <v>LAC</v>
      </c>
      <c r="E34" s="2" t="str">
        <f>'[1]Final Scoresheet'!H36</f>
        <v>Recurve</v>
      </c>
      <c r="F34" s="2">
        <f>'[1]Final Scoresheet'!I36</f>
        <v>505</v>
      </c>
    </row>
    <row r="35" spans="1:6" ht="16" x14ac:dyDescent="0.2">
      <c r="A35" s="2" t="str">
        <f>'[1]Final Scoresheet'!D37</f>
        <v>9B</v>
      </c>
      <c r="B35" s="2" t="str">
        <f>'[1]Final Scoresheet'!E37</f>
        <v>Nathan Coghill</v>
      </c>
      <c r="C35" s="2" t="str">
        <f>'[1]Final Scoresheet'!F37</f>
        <v>M</v>
      </c>
      <c r="D35" s="2" t="str">
        <f>'[1]Final Scoresheet'!G37</f>
        <v>USAC</v>
      </c>
      <c r="E35" s="2" t="str">
        <f>'[1]Final Scoresheet'!H37</f>
        <v>Traditional</v>
      </c>
      <c r="F35" s="2">
        <f>'[1]Final Scoresheet'!I37</f>
        <v>150</v>
      </c>
    </row>
    <row r="36" spans="1:6" ht="16" x14ac:dyDescent="0.2">
      <c r="A36" s="2" t="str">
        <f>'[1]Final Scoresheet'!D38</f>
        <v>9C</v>
      </c>
      <c r="B36" s="2" t="str">
        <f>'[1]Final Scoresheet'!E38</f>
        <v>Ross Carmichael</v>
      </c>
      <c r="C36" s="2" t="str">
        <f>'[1]Final Scoresheet'!F38</f>
        <v>M</v>
      </c>
      <c r="D36" s="2" t="str">
        <f>'[1]Final Scoresheet'!G38</f>
        <v>LAC</v>
      </c>
      <c r="E36" s="2" t="str">
        <f>'[1]Final Scoresheet'!H38</f>
        <v>Barebow</v>
      </c>
      <c r="F36" s="2">
        <f>'[1]Final Scoresheet'!I38</f>
        <v>446</v>
      </c>
    </row>
    <row r="37" spans="1:6" ht="16" x14ac:dyDescent="0.2">
      <c r="A37" s="2" t="str">
        <f>'[1]Final Scoresheet'!D39</f>
        <v>9D</v>
      </c>
      <c r="B37" s="2" t="str">
        <f>'[1]Final Scoresheet'!E39</f>
        <v>Mark Ferguson</v>
      </c>
      <c r="C37" s="2" t="str">
        <f>'[1]Final Scoresheet'!F39</f>
        <v>M</v>
      </c>
      <c r="D37" s="2" t="str">
        <f>'[1]Final Scoresheet'!G39</f>
        <v>EK</v>
      </c>
      <c r="E37" s="2" t="str">
        <f>'[1]Final Scoresheet'!H39</f>
        <v>Recurve</v>
      </c>
      <c r="F37" s="2">
        <f>'[1]Final Scoresheet'!I39</f>
        <v>451</v>
      </c>
    </row>
    <row r="38" spans="1:6" ht="32" x14ac:dyDescent="0.2">
      <c r="A38" s="2" t="str">
        <f>'[1]Final Scoresheet'!D40</f>
        <v>10A</v>
      </c>
      <c r="B38" s="2" t="str">
        <f>'[1]Final Scoresheet'!E40</f>
        <v>Emily Zenuwah</v>
      </c>
      <c r="C38" s="2" t="str">
        <f>'[1]Final Scoresheet'!F40</f>
        <v>F</v>
      </c>
      <c r="D38" s="2" t="str">
        <f>'[1]Final Scoresheet'!G40</f>
        <v>UWSAC</v>
      </c>
      <c r="E38" s="2" t="str">
        <f>'[1]Final Scoresheet'!H40</f>
        <v>Barebow</v>
      </c>
      <c r="F38" s="2">
        <f>'[1]Final Scoresheet'!I40</f>
        <v>0</v>
      </c>
    </row>
    <row r="39" spans="1:6" ht="16" x14ac:dyDescent="0.2">
      <c r="A39" s="2" t="str">
        <f>'[1]Final Scoresheet'!D41</f>
        <v>10B</v>
      </c>
      <c r="B39" s="2" t="str">
        <f>'[1]Final Scoresheet'!E41</f>
        <v>Alexander Husbands</v>
      </c>
      <c r="C39" s="2" t="str">
        <f>'[1]Final Scoresheet'!F41</f>
        <v>M</v>
      </c>
      <c r="D39" s="2" t="str">
        <f>'[1]Final Scoresheet'!G41</f>
        <v>EK</v>
      </c>
      <c r="E39" s="2" t="str">
        <f>'[1]Final Scoresheet'!H41</f>
        <v>Recurve</v>
      </c>
      <c r="F39" s="2">
        <f>'[1]Final Scoresheet'!I41</f>
        <v>486</v>
      </c>
    </row>
    <row r="40" spans="1:6" ht="16" x14ac:dyDescent="0.2">
      <c r="A40" s="2" t="str">
        <f>'[1]Final Scoresheet'!D42</f>
        <v>10C</v>
      </c>
      <c r="B40" s="2" t="str">
        <f>'[1]Final Scoresheet'!E42</f>
        <v>Donald Kennedy</v>
      </c>
      <c r="C40" s="2" t="str">
        <f>'[1]Final Scoresheet'!F42</f>
        <v>M</v>
      </c>
      <c r="D40" s="2" t="str">
        <f>'[1]Final Scoresheet'!G42</f>
        <v>LAC</v>
      </c>
      <c r="E40" s="2" t="str">
        <f>'[1]Final Scoresheet'!H42</f>
        <v>Recurve</v>
      </c>
      <c r="F40" s="2">
        <f>'[1]Final Scoresheet'!I42</f>
        <v>562</v>
      </c>
    </row>
    <row r="41" spans="1:6" ht="16" x14ac:dyDescent="0.2">
      <c r="A41" s="2" t="str">
        <f>'[1]Final Scoresheet'!D43</f>
        <v>10D</v>
      </c>
      <c r="B41" s="2" t="str">
        <f>'[1]Final Scoresheet'!E43</f>
        <v>Henri Krishna</v>
      </c>
      <c r="C41" s="2" t="str">
        <f>'[1]Final Scoresheet'!F43</f>
        <v>M</v>
      </c>
      <c r="D41" s="2" t="str">
        <f>'[1]Final Scoresheet'!G43</f>
        <v>GA</v>
      </c>
      <c r="E41" s="2" t="str">
        <f>'[1]Final Scoresheet'!H43</f>
        <v>Recurve</v>
      </c>
      <c r="F41" s="2">
        <f>'[1]Final Scoresheet'!I43</f>
        <v>522</v>
      </c>
    </row>
    <row r="42" spans="1:6" ht="16" x14ac:dyDescent="0.2">
      <c r="A42" s="2" t="str">
        <f>'[1]Final Scoresheet'!D44</f>
        <v>10E</v>
      </c>
      <c r="B42" s="2" t="str">
        <f>'[1]Final Scoresheet'!E44</f>
        <v>Chris Blair</v>
      </c>
      <c r="C42" s="2" t="str">
        <f>'[1]Final Scoresheet'!F44</f>
        <v>M</v>
      </c>
      <c r="D42" s="2" t="str">
        <f>'[1]Final Scoresheet'!G44</f>
        <v>GA</v>
      </c>
      <c r="E42" s="2" t="str">
        <f>'[1]Final Scoresheet'!H44</f>
        <v>Barebow</v>
      </c>
      <c r="F42" s="2">
        <f>'[1]Final Scoresheet'!I44</f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Dowie (Student)</dc:creator>
  <cp:lastModifiedBy>Alun ap Rhisiart</cp:lastModifiedBy>
  <dcterms:created xsi:type="dcterms:W3CDTF">2026-02-27T22:06:03Z</dcterms:created>
  <dcterms:modified xsi:type="dcterms:W3CDTF">2026-02-28T20:47:51Z</dcterms:modified>
</cp:coreProperties>
</file>