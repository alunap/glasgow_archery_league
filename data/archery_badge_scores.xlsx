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ievement_scores" sheetId="1" state="visible" r:id="rId3"/>
    <sheet name="reference_scor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<sst xmlns="http://schemas.openxmlformats.org/spreadsheetml/2006/main" count="39" uniqueCount="31">
  <si>
    <t xml:space="preserve">Glasgow Rose</t>
  </si>
  <si>
    <t xml:space="preserve">Pink</t>
  </si>
  <si>
    <t xml:space="preserve">Green</t>
  </si>
  <si>
    <t xml:space="preserve">White</t>
  </si>
  <si>
    <t xml:space="preserve">Black</t>
  </si>
  <si>
    <t xml:space="preserve">Blue</t>
  </si>
  <si>
    <t xml:space="preserve">Red</t>
  </si>
  <si>
    <t xml:space="preserve">Gold</t>
  </si>
  <si>
    <t xml:space="preserve">Purple</t>
  </si>
  <si>
    <t xml:space="preserve">Compound WA18</t>
  </si>
  <si>
    <t xml:space="preserve">Recurve</t>
  </si>
  <si>
    <t xml:space="preserve">Barebow</t>
  </si>
  <si>
    <t xml:space="preserve">Longbow</t>
  </si>
  <si>
    <t xml:space="preserve">BowType</t>
  </si>
  <si>
    <t xml:space="preserve">IA3</t>
  </si>
  <si>
    <t xml:space="preserve">IA2</t>
  </si>
  <si>
    <t xml:space="preserve">IB3</t>
  </si>
  <si>
    <t xml:space="preserve">IB2</t>
  </si>
  <si>
    <t xml:space="preserve">IB1</t>
  </si>
  <si>
    <t xml:space="preserve">IMB</t>
  </si>
  <si>
    <t xml:space="preserve">IGMB</t>
  </si>
  <si>
    <t xml:space="preserve">Recurve (M)</t>
  </si>
  <si>
    <t xml:space="preserve">Recurve (F)</t>
  </si>
  <si>
    <t xml:space="preserve">Compound (M)</t>
  </si>
  <si>
    <t xml:space="preserve">Compound (F)</t>
  </si>
  <si>
    <t xml:space="preserve">Barebow (M)</t>
  </si>
  <si>
    <t xml:space="preserve">Barebow (F)</t>
  </si>
  <si>
    <t xml:space="preserve">Longbow (M)</t>
  </si>
  <si>
    <t xml:space="preserve">Longbow (F)</t>
  </si>
  <si>
    <t xml:space="preserve">WA18</t>
  </si>
  <si>
    <t xml:space="preserve">WA18 Barebow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</si>
</sst>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66"/>
    <col collapsed="false" customWidth="true" hidden="false" outlineLevel="0" max="9" min="2" style="0" width="7.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0" t="s">
        <v>9</v>
      </c>
      <c r="B2" s="3" t="n">
        <f aca="false">_xlfn.FLOOR.MATH(reference_scores!B6,5)</f>
        <v>365</v>
      </c>
      <c r="C2" s="3" t="n">
        <f aca="false">_xlfn.FLOOR.MATH(reference_scores!C6,5)</f>
        <v>430</v>
      </c>
      <c r="D2" s="3" t="n">
        <f aca="false">_xlfn.FLOOR.MATH(reference_scores!D6,5)</f>
        <v>480</v>
      </c>
      <c r="E2" s="3" t="n">
        <f aca="false">_xlfn.FLOOR.MATH(reference_scores!E6,5)</f>
        <v>515</v>
      </c>
      <c r="F2" s="3" t="n">
        <f aca="false">_xlfn.FLOOR.MATH(reference_scores!F6,5)</f>
        <v>535</v>
      </c>
      <c r="G2" s="3" t="n">
        <f aca="false">_xlfn.FLOOR.MATH(reference_scores!G6,5)</f>
        <v>550</v>
      </c>
      <c r="H2" s="3" t="n">
        <f aca="false">_xlfn.FLOOR.MATH(reference_scores!H6,5)</f>
        <v>560</v>
      </c>
      <c r="I2" s="3" t="n">
        <f aca="false">_xlfn.FLOOR.MATH(reference_scores!I6,5)</f>
        <v>575</v>
      </c>
    </row>
    <row r="3" customFormat="false" ht="12.8" hidden="false" customHeight="false" outlineLevel="0" collapsed="false">
      <c r="A3" s="0" t="s">
        <v>10</v>
      </c>
      <c r="B3" s="0" t="n">
        <f aca="false">_xlfn.FLOOR.MATH(reference_scores!B3,5)</f>
        <v>330</v>
      </c>
      <c r="C3" s="0" t="n">
        <f aca="false">_xlfn.FLOOR.MATH(reference_scores!C3,5)</f>
        <v>395</v>
      </c>
      <c r="D3" s="0" t="n">
        <f aca="false">_xlfn.FLOOR.MATH(reference_scores!D3,5)</f>
        <v>450</v>
      </c>
      <c r="E3" s="0" t="n">
        <f aca="false">_xlfn.FLOOR.MATH(reference_scores!E3,5)</f>
        <v>495</v>
      </c>
      <c r="F3" s="0" t="n">
        <f aca="false">_xlfn.FLOOR.MATH(reference_scores!F3,5)</f>
        <v>525</v>
      </c>
      <c r="G3" s="0" t="n">
        <f aca="false">_xlfn.FLOOR.MATH(reference_scores!G3,5)</f>
        <v>550</v>
      </c>
      <c r="H3" s="0" t="n">
        <f aca="false">_xlfn.FLOOR.MATH(reference_scores!H3,5)</f>
        <v>570</v>
      </c>
      <c r="I3" s="0" t="n">
        <f aca="false">_xlfn.FLOOR.MATH(reference_scores!I3,5)</f>
        <v>585</v>
      </c>
    </row>
    <row r="4" customFormat="false" ht="12.8" hidden="false" customHeight="false" outlineLevel="0" collapsed="false">
      <c r="A4" s="0" t="s">
        <v>11</v>
      </c>
      <c r="B4" s="3" t="n">
        <f aca="false">_xlfn.FLOOR.MATH(reference_scores!B9,5)</f>
        <v>275</v>
      </c>
      <c r="C4" s="3" t="n">
        <f aca="false">_xlfn.FLOOR.MATH(reference_scores!C9,5)</f>
        <v>335</v>
      </c>
      <c r="D4" s="3" t="n">
        <f aca="false">_xlfn.FLOOR.MATH(reference_scores!D9,5)</f>
        <v>390</v>
      </c>
      <c r="E4" s="3" t="n">
        <f aca="false">_xlfn.FLOOR.MATH(reference_scores!E9,5)</f>
        <v>435</v>
      </c>
      <c r="F4" s="3" t="n">
        <f aca="false">_xlfn.FLOOR.MATH(reference_scores!F9,5)</f>
        <v>475</v>
      </c>
      <c r="G4" s="3" t="n">
        <f aca="false">_xlfn.FLOOR.MATH(reference_scores!G9,5)</f>
        <v>505</v>
      </c>
      <c r="H4" s="3" t="n">
        <f aca="false">_xlfn.FLOOR.MATH(reference_scores!H9,5)</f>
        <v>530</v>
      </c>
      <c r="I4" s="3" t="n">
        <f aca="false">_xlfn.FLOOR.MATH(reference_scores!I9,5)</f>
        <v>550</v>
      </c>
    </row>
    <row r="5" customFormat="false" ht="12.8" hidden="false" customHeight="false" outlineLevel="0" collapsed="false">
      <c r="A5" s="0" t="s">
        <v>12</v>
      </c>
      <c r="B5" s="3" t="n">
        <f aca="false">_xlfn.FLOOR.MATH(reference_scores!B12,5)</f>
        <v>80</v>
      </c>
      <c r="C5" s="3" t="n">
        <f aca="false">_xlfn.FLOOR.MATH(reference_scores!C12,5)</f>
        <v>120</v>
      </c>
      <c r="D5" s="3" t="n">
        <f aca="false">_xlfn.FLOOR.MATH(reference_scores!D12,5)</f>
        <v>170</v>
      </c>
      <c r="E5" s="3" t="n">
        <f aca="false">_xlfn.FLOOR.MATH(reference_scores!E12,5)</f>
        <v>235</v>
      </c>
      <c r="F5" s="3" t="n">
        <f aca="false">_xlfn.FLOOR.MATH(reference_scores!F12,5)</f>
        <v>300</v>
      </c>
      <c r="G5" s="3" t="n">
        <f aca="false">_xlfn.FLOOR.MATH(reference_scores!G12,5)</f>
        <v>360</v>
      </c>
      <c r="H5" s="3" t="n">
        <f aca="false">_xlfn.FLOOR.MATH(reference_scores!H12,5)</f>
        <v>415</v>
      </c>
      <c r="I5" s="3" t="n">
        <f aca="false">_xlfn.FLOOR.MATH(reference_scores!I12,5)</f>
        <v>460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4" activeCellId="0" sqref="A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03"/>
    <col collapsed="false" customWidth="true" hidden="false" outlineLevel="0" max="9" min="2" style="0" width="7.07"/>
  </cols>
  <sheetData>
    <row r="1" customFormat="false" ht="12.8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14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</row>
    <row r="2" customFormat="false" ht="12.8" hidden="false" customHeight="false" outlineLevel="0" collapsed="false">
      <c r="A2" s="0" t="s">
        <v>21</v>
      </c>
      <c r="B2" s="0" t="n">
        <v>378</v>
      </c>
      <c r="C2" s="0" t="n">
        <v>437</v>
      </c>
      <c r="D2" s="0" t="n">
        <v>483</v>
      </c>
      <c r="E2" s="0" t="n">
        <v>518</v>
      </c>
      <c r="F2" s="0" t="n">
        <v>546</v>
      </c>
      <c r="G2" s="0" t="n">
        <v>566</v>
      </c>
      <c r="H2" s="0" t="n">
        <v>582</v>
      </c>
      <c r="I2" s="0" t="n">
        <v>593</v>
      </c>
    </row>
    <row r="3" customFormat="false" ht="12.8" hidden="false" customHeight="false" outlineLevel="0" collapsed="false">
      <c r="A3" s="0" t="s">
        <v>22</v>
      </c>
      <c r="B3" s="0" t="n">
        <v>331</v>
      </c>
      <c r="C3" s="0" t="n">
        <v>399</v>
      </c>
      <c r="D3" s="0" t="n">
        <v>454</v>
      </c>
      <c r="E3" s="0" t="n">
        <v>496</v>
      </c>
      <c r="F3" s="0" t="n">
        <v>528</v>
      </c>
      <c r="G3" s="0" t="n">
        <v>553</v>
      </c>
      <c r="H3" s="0" t="n">
        <v>572</v>
      </c>
      <c r="I3" s="0" t="n">
        <v>586</v>
      </c>
    </row>
    <row r="5" customFormat="false" ht="12.8" hidden="false" customHeight="false" outlineLevel="0" collapsed="false">
      <c r="A5" s="0" t="s">
        <v>23</v>
      </c>
      <c r="B5" s="0" t="n">
        <v>403</v>
      </c>
      <c r="C5" s="0" t="n">
        <v>458</v>
      </c>
      <c r="D5" s="0" t="n">
        <v>498</v>
      </c>
      <c r="E5" s="0" t="n">
        <v>527</v>
      </c>
      <c r="F5" s="0" t="n">
        <v>546</v>
      </c>
      <c r="G5" s="0" t="n">
        <v>558</v>
      </c>
      <c r="H5" s="0" t="n">
        <v>569</v>
      </c>
      <c r="I5" s="0" t="n">
        <v>581</v>
      </c>
    </row>
    <row r="6" customFormat="false" ht="12.8" hidden="false" customHeight="false" outlineLevel="0" collapsed="false">
      <c r="A6" s="0" t="s">
        <v>24</v>
      </c>
      <c r="B6" s="0" t="n">
        <v>369</v>
      </c>
      <c r="C6" s="0" t="n">
        <v>432</v>
      </c>
      <c r="D6" s="0" t="n">
        <v>483</v>
      </c>
      <c r="E6" s="0" t="n">
        <v>515</v>
      </c>
      <c r="F6" s="0" t="n">
        <v>537</v>
      </c>
      <c r="G6" s="0" t="n">
        <v>552</v>
      </c>
      <c r="H6" s="0" t="n">
        <v>563</v>
      </c>
      <c r="I6" s="0" t="n">
        <v>575</v>
      </c>
    </row>
    <row r="8" customFormat="false" ht="12.8" hidden="false" customHeight="false" outlineLevel="0" collapsed="false">
      <c r="A8" s="0" t="s">
        <v>25</v>
      </c>
      <c r="B8" s="0" t="n">
        <v>331</v>
      </c>
      <c r="C8" s="0" t="n">
        <v>387</v>
      </c>
      <c r="D8" s="0" t="n">
        <v>433</v>
      </c>
      <c r="E8" s="0" t="n">
        <v>472</v>
      </c>
      <c r="F8" s="0" t="n">
        <v>503</v>
      </c>
      <c r="G8" s="0" t="n">
        <v>528</v>
      </c>
      <c r="H8" s="0" t="n">
        <v>549</v>
      </c>
      <c r="I8" s="0" t="n">
        <v>565</v>
      </c>
    </row>
    <row r="9" customFormat="false" ht="12.8" hidden="false" customHeight="false" outlineLevel="0" collapsed="false">
      <c r="A9" s="0" t="s">
        <v>26</v>
      </c>
      <c r="B9" s="0" t="n">
        <v>276</v>
      </c>
      <c r="C9" s="0" t="n">
        <v>336</v>
      </c>
      <c r="D9" s="0" t="n">
        <v>391</v>
      </c>
      <c r="E9" s="0" t="n">
        <v>437</v>
      </c>
      <c r="F9" s="0" t="n">
        <v>475</v>
      </c>
      <c r="G9" s="0" t="n">
        <v>505</v>
      </c>
      <c r="H9" s="0" t="n">
        <v>530</v>
      </c>
      <c r="I9" s="0" t="n">
        <v>550</v>
      </c>
    </row>
    <row r="11" customFormat="false" ht="12.8" hidden="false" customHeight="false" outlineLevel="0" collapsed="false">
      <c r="A11" s="0" t="s">
        <v>27</v>
      </c>
      <c r="B11" s="0" t="n">
        <v>127</v>
      </c>
      <c r="C11" s="0" t="n">
        <v>178</v>
      </c>
      <c r="D11" s="0" t="n">
        <v>240</v>
      </c>
      <c r="E11" s="0" t="n">
        <v>306</v>
      </c>
      <c r="F11" s="0" t="n">
        <v>369</v>
      </c>
      <c r="G11" s="0" t="n">
        <v>423</v>
      </c>
      <c r="H11" s="0" t="n">
        <v>466</v>
      </c>
      <c r="I11" s="0" t="n">
        <v>501</v>
      </c>
    </row>
    <row r="12" customFormat="false" ht="12.8" hidden="false" customHeight="false" outlineLevel="0" collapsed="false">
      <c r="A12" s="0" t="s">
        <v>28</v>
      </c>
      <c r="B12" s="0" t="n">
        <v>84</v>
      </c>
      <c r="C12" s="0" t="n">
        <v>123</v>
      </c>
      <c r="D12" s="0" t="n">
        <v>174</v>
      </c>
      <c r="E12" s="0" t="n">
        <v>235</v>
      </c>
      <c r="F12" s="0" t="n">
        <v>301</v>
      </c>
      <c r="G12" s="0" t="n">
        <v>364</v>
      </c>
      <c r="H12" s="0" t="n">
        <v>419</v>
      </c>
      <c r="I12" s="0" t="n">
        <v>463</v>
      </c>
    </row>
    <row r="14" customFormat="false" ht="12.8" hidden="false" customHeight="false" outlineLevel="0" collapsed="false">
      <c r="A14" s="2" t="s">
        <v>13</v>
      </c>
      <c r="B14" s="2"/>
      <c r="C14" s="2"/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</row>
    <row r="15" customFormat="false" ht="12.8" hidden="false" customHeight="false" outlineLevel="0" collapsed="false">
      <c r="A15" s="0" t="s">
        <v>29</v>
      </c>
      <c r="D15" s="0" t="n">
        <v>500</v>
      </c>
      <c r="E15" s="0" t="n">
        <v>525</v>
      </c>
      <c r="F15" s="0" t="n">
        <v>550</v>
      </c>
      <c r="G15" s="0" t="n">
        <v>575</v>
      </c>
      <c r="H15" s="0" t="n">
        <v>585</v>
      </c>
      <c r="I15" s="0" t="n">
        <v>595</v>
      </c>
    </row>
    <row r="16" customFormat="false" ht="12.8" hidden="false" customHeight="false" outlineLevel="0" collapsed="false">
      <c r="A16" s="0" t="s">
        <v>30</v>
      </c>
      <c r="D16" s="0" t="n">
        <v>480</v>
      </c>
      <c r="E16" s="0" t="n">
        <v>500</v>
      </c>
      <c r="F16" s="0" t="n">
        <v>520</v>
      </c>
      <c r="G16" s="0" t="n">
        <v>540</v>
      </c>
      <c r="H16" s="0" t="n">
        <v>550</v>
      </c>
      <c r="I16" s="0" t="n">
        <v>560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2026-03-09T14:49:07Z</dcterms:created>
  <dc:creator/>
  <dc:description/>
  <dc:language>en-GB</dc:language>
  <cp:lastModifiedBy/>
  <dcterms:modified xsi:type="dcterms:W3CDTF">2026-03-11T09:37:28Z</dcterms:modified>
  <cp:revision>3</cp:revision>
  <dc:subject/>
  <dc:title/>
</cp:coreProperties>
</file>